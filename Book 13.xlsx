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xr:revisionPtr revIDLastSave="0" documentId="8_{E900ED46-D856-4144-8A0C-3D445AA8125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emographics" sheetId="1" r:id="rId1"/>
    <sheet name="Division_Shares" sheetId="2" r:id="rId2"/>
    <sheet name="Division_Deltas" sheetId="3" r:id="rId3"/>
    <sheet name="Demo_Preferences" sheetId="4" r:id="rId4"/>
    <sheet name="Surveys" sheetId="5" r:id="rId5"/>
    <sheet name="Historical_Results" sheetId="6" r:id="rId6"/>
    <sheet name="Social_Media" sheetId="7" r:id="rId7"/>
    <sheet name="Ground_Campaign" sheetId="8" r:id="rId8"/>
    <sheet name="Campaign_Activity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<sst xmlns="http://schemas.openxmlformats.org/spreadsheetml/2006/main" count="319" uniqueCount="214">
  <si>
    <t>Metric</t>
  </si>
  <si>
    <t>Count</t>
  </si>
  <si>
    <t>Total_Voters</t>
  </si>
  <si>
    <t>Male_Voters</t>
  </si>
  <si>
    <t>Female_Voters</t>
  </si>
  <si>
    <t>Age_18_19</t>
  </si>
  <si>
    <t>Age_20_29</t>
  </si>
  <si>
    <t>Age_30_39</t>
  </si>
  <si>
    <t>Above_80</t>
  </si>
  <si>
    <t>PWD_Voters</t>
  </si>
  <si>
    <t>Division</t>
  </si>
  <si>
    <t>Year</t>
  </si>
  <si>
    <t>BRS</t>
  </si>
  <si>
    <t>INC</t>
  </si>
  <si>
    <t>BJP</t>
  </si>
  <si>
    <t>AIMIM</t>
  </si>
  <si>
    <t>Others</t>
  </si>
  <si>
    <t>Shaikpet</t>
  </si>
  <si>
    <t>Srinagar Colony</t>
  </si>
  <si>
    <t>Vengal Rao Nagar</t>
  </si>
  <si>
    <t>Yousufguda</t>
  </si>
  <si>
    <t>Borabanda</t>
  </si>
  <si>
    <t>Erragadda</t>
  </si>
  <si>
    <t>Rehmat Nagar</t>
  </si>
  <si>
    <t>BRS_Delta</t>
  </si>
  <si>
    <t>INC_Delta</t>
  </si>
  <si>
    <t>BJP_Delta</t>
  </si>
  <si>
    <t>AIMIM_Delta</t>
  </si>
  <si>
    <t>Subgroup</t>
  </si>
  <si>
    <t>Male</t>
  </si>
  <si>
    <t>Female</t>
  </si>
  <si>
    <t>18-25</t>
  </si>
  <si>
    <t>26-35</t>
  </si>
  <si>
    <t>36-45</t>
  </si>
  <si>
    <t>46-60</t>
  </si>
  <si>
    <t>60+</t>
  </si>
  <si>
    <t>Hindu</t>
  </si>
  <si>
    <t>Muslim</t>
  </si>
  <si>
    <t>Christian</t>
  </si>
  <si>
    <t>OC</t>
  </si>
  <si>
    <t>BC</t>
  </si>
  <si>
    <t>SC</t>
  </si>
  <si>
    <t>ST</t>
  </si>
  <si>
    <t>Minority</t>
  </si>
  <si>
    <t>Survey</t>
  </si>
  <si>
    <t>Sample</t>
  </si>
  <si>
    <t>Area</t>
  </si>
  <si>
    <t>Notes</t>
  </si>
  <si>
    <t>Independent Survey</t>
  </si>
  <si>
    <t>Shaikpet, Erragadda, Yousufguda, Borabanda</t>
  </si>
  <si>
    <t>Congress lead</t>
  </si>
  <si>
    <t>Greater Andhra Survey</t>
  </si>
  <si>
    <t>Not specified</t>
  </si>
  <si>
    <t>Jubilee Hills</t>
  </si>
  <si>
    <t>-</t>
  </si>
  <si>
    <t>BRS +2 edge</t>
  </si>
  <si>
    <t>Saidulu Survey</t>
  </si>
  <si>
    <t>Multiple divisions</t>
  </si>
  <si>
    <t>BRS +3 lead</t>
  </si>
  <si>
    <t>Jan Lok Poll Survey</t>
  </si>
  <si>
    <t>BJP slight lead</t>
  </si>
  <si>
    <t>Mango News Survey</t>
  </si>
  <si>
    <t>BRS strong lead</t>
  </si>
  <si>
    <t>Party</t>
  </si>
  <si>
    <t>Candidate</t>
  </si>
  <si>
    <t>Votes</t>
  </si>
  <si>
    <t>Pct</t>
  </si>
  <si>
    <t>Turnout</t>
  </si>
  <si>
    <t>Maganti Gopinath</t>
  </si>
  <si>
    <t>Mohammed Azharuddin</t>
  </si>
  <si>
    <t>Lankala Deepak Reddy</t>
  </si>
  <si>
    <t>TDP</t>
  </si>
  <si>
    <t>Date</t>
  </si>
  <si>
    <t>#Posts</t>
  </si>
  <si>
    <t>Likes</t>
  </si>
  <si>
    <t>Shares</t>
  </si>
  <si>
    <t>Comments</t>
  </si>
  <si>
    <t>Impressions</t>
  </si>
  <si>
    <t>Reach</t>
  </si>
  <si>
    <t>Engagement_Total</t>
  </si>
  <si>
    <t>Column1</t>
  </si>
  <si>
    <t>CONG</t>
  </si>
  <si>
    <t>=D2+E2+F2</t>
  </si>
  <si>
    <t>house-to-house + local MLA posts</t>
  </si>
  <si>
    <t>=D3+E3+F3</t>
  </si>
  <si>
    <t>local minister posts</t>
  </si>
  <si>
    <t>=D4+E4+F4</t>
  </si>
  <si>
    <t>MP campaign post</t>
  </si>
  <si>
    <t>=D5+E5+F5</t>
  </si>
  <si>
    <t>celebrity support post</t>
  </si>
  <si>
    <t>=D6+E6+F6</t>
  </si>
  <si>
    <t>local rallies</t>
  </si>
  <si>
    <t>=D7+E7+F7</t>
  </si>
  <si>
    <t>padayatra posts</t>
  </si>
  <si>
    <t>=D8+E8+F8</t>
  </si>
  <si>
    <t>KTR + Harish auto rally (high reach)</t>
  </si>
  <si>
    <t>(party)</t>
  </si>
  <si>
    <t>(enter)</t>
  </si>
  <si>
    <t>=D9+E9+F9</t>
  </si>
  <si>
    <r>
      <t xml:space="preserve">press meet / ktr / others — </t>
    </r>
    <r>
      <rPr>
        <i/>
        <sz val="11"/>
        <color theme="1"/>
        <rFont val="Aptos Narrow"/>
        <family val="2"/>
        <scheme val="minor"/>
      </rPr>
      <t>you fill numbers</t>
    </r>
  </si>
  <si>
    <t>=D10+E10+F10</t>
  </si>
  <si>
    <t>minister rally</t>
  </si>
  <si>
    <t>Category</t>
  </si>
  <si>
    <t>Subcategory</t>
  </si>
  <si>
    <t>Congress</t>
  </si>
  <si>
    <t>Development &amp; Welfare Issues</t>
  </si>
  <si>
    <t>Infrastructure</t>
  </si>
  <si>
    <t>Poor civic infra; road repair delay</t>
  </si>
  <si>
    <t>Claimed earlier works</t>
  </si>
  <si>
    <t>Promised Smart Infra Project</t>
  </si>
  <si>
    <t>Public mood mixed</t>
  </si>
  <si>
    <t>Civic amenities</t>
  </si>
  <si>
    <t>Focus on water &amp; garbage</t>
  </si>
  <si>
    <t>GHMC works under BRS</t>
  </si>
  <si>
    <t>BJP targeting GHMC inefficiency</t>
  </si>
  <si>
    <t>Employment</t>
  </si>
  <si>
    <t>Promised local jobs</t>
  </si>
  <si>
    <t>Claimed placement drives</t>
  </si>
  <si>
    <t>Focus on youth job fairs</t>
  </si>
  <si>
    <t>Urban issues</t>
  </si>
  <si>
    <t>Highlight slum dev</t>
  </si>
  <si>
    <t>Showcase Mission Bhagiratha</t>
  </si>
  <si>
    <t>Digital city plan</t>
  </si>
  <si>
    <t>Water bills</t>
  </si>
  <si>
    <t>Promised waivers</t>
  </si>
  <si>
    <t>Defended bills as realistic</t>
  </si>
  <si>
    <t>Said overbilling issue</t>
  </si>
  <si>
    <t>Observed Pluses</t>
  </si>
  <si>
    <t>Power</t>
  </si>
  <si>
    <t>Gopinath legacy; women sentiment; urban appeal</t>
  </si>
  <si>
    <t>–</t>
  </si>
  <si>
    <t>Strong goodwill for Gopinath</t>
  </si>
  <si>
    <t>BC Candidate</t>
  </si>
  <si>
    <t>Hydra</t>
  </si>
  <si>
    <t>Decent LS voting</t>
  </si>
  <si>
    <t>BRS BC outreach steady</t>
  </si>
  <si>
    <t>Yadav Caste Support</t>
  </si>
  <si>
    <t>Kamma community backup</t>
  </si>
  <si>
    <t>Sitting MP &amp; central minister</t>
  </si>
  <si>
    <t>Schemes</t>
  </si>
  <si>
    <t>Sannam Biyyam scheme</t>
  </si>
  <si>
    <t>Last govt development push</t>
  </si>
  <si>
    <t>Ration Cards</t>
  </si>
  <si>
    <t>Present govt failures</t>
  </si>
  <si>
    <t>Sadar Festival</t>
  </si>
  <si>
    <t>Active campaign</t>
  </si>
  <si>
    <t>Big public presence</t>
  </si>
  <si>
    <t>AIMIM Support</t>
  </si>
  <si>
    <t>Indirectly helps BRS</t>
  </si>
  <si>
    <t>Observed Minuses</t>
  </si>
  <si>
    <t>Ruling Failure</t>
  </si>
  <si>
    <t>Consecutive 3 terms → fatigue</t>
  </si>
  <si>
    <t>Anti-incumbency</t>
  </si>
  <si>
    <t>Internal Unity</t>
  </si>
  <si>
    <t>No unity in party</t>
  </si>
  <si>
    <t>No local leader</t>
  </si>
  <si>
    <t>Congress faction issues</t>
  </si>
  <si>
    <t>Public Edge</t>
  </si>
  <si>
    <t>Only 20% edge to Cong</t>
  </si>
  <si>
    <t>Lost LS + no central support</t>
  </si>
  <si>
    <t>No booth members</t>
  </si>
  <si>
    <t>Voter fatigue</t>
  </si>
  <si>
    <t>Demolitions</t>
  </si>
  <si>
    <t>Hydra demolishings</t>
  </si>
  <si>
    <t>BC &amp; minority vote split</t>
  </si>
  <si>
    <t>Anger on both BRS &amp; GHMC</t>
  </si>
  <si>
    <t>Last govt failures</t>
  </si>
  <si>
    <t>Candidate Image</t>
  </si>
  <si>
    <t>Rowdy-sheet comments on family</t>
  </si>
  <si>
    <t>KTR’s “Chai &amp; Why” boosted image</t>
  </si>
  <si>
    <t>BJP gained talk online</t>
  </si>
  <si>
    <t>Allegations</t>
  </si>
  <si>
    <t>Allegations on ministers &amp; contract fights</t>
  </si>
  <si>
    <t>Leader(s) / VIP</t>
  </si>
  <si>
    <t>Event Type</t>
  </si>
  <si>
    <t>Area / Division</t>
  </si>
  <si>
    <t>Attendance</t>
  </si>
  <si>
    <t>Remarks</t>
  </si>
  <si>
    <t>KTR, Harish Rao</t>
  </si>
  <si>
    <t>Inspection</t>
  </si>
  <si>
    <t>Basti Dawakhana</t>
  </si>
  <si>
    <t>High</t>
  </si>
  <si>
    <t>Coverage in media</t>
  </si>
  <si>
    <t>Revanth’s team, Srinivas Goud</t>
  </si>
  <si>
    <t>Basti visit</t>
  </si>
  <si>
    <t>Medium</t>
  </si>
  <si>
    <t>Good local connect</t>
  </si>
  <si>
    <t>Jagadish Reddy</t>
  </si>
  <si>
    <t>Campaign</t>
  </si>
  <si>
    <t>Routine rally</t>
  </si>
  <si>
    <t>MP Kishan Reddy</t>
  </si>
  <si>
    <t>Rally</t>
  </si>
  <si>
    <t>Celebrity support</t>
  </si>
  <si>
    <t>Seethakka</t>
  </si>
  <si>
    <t>Padayatra</t>
  </si>
  <si>
    <t>Women presence strong</t>
  </si>
  <si>
    <t>Koppula Eshwar, Vinay Kumar</t>
  </si>
  <si>
    <t>Press Meet</t>
  </si>
  <si>
    <t>Rahmat Nagar</t>
  </si>
  <si>
    <t>Focused on GHMC issues</t>
  </si>
  <si>
    <t>Komatireddy Venkat Reddy</t>
  </si>
  <si>
    <t>Energy high</t>
  </si>
  <si>
    <t>KTR, Harish Rao, Gangula Kamalakar, Krishank</t>
  </si>
  <si>
    <t>Auto Rally</t>
  </si>
  <si>
    <t>Multiple Divisions</t>
  </si>
  <si>
    <t>Very High</t>
  </si>
  <si>
    <t>Massive reach</t>
  </si>
  <si>
    <t>Etela Rajender</t>
  </si>
  <si>
    <t>Reached traders</t>
  </si>
  <si>
    <t>KTR</t>
  </si>
  <si>
    <t>Social media traction</t>
  </si>
  <si>
    <t>Ponguleti Srinivas Reddy</t>
  </si>
  <si>
    <t>Election Rally</t>
  </si>
  <si>
    <t>Final 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</si>
</sst>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16" fontId="0" fillId="0" borderId="0" xfId="0" applyNumberFormat="1"/>
    <xf numFmtId="16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17">
    <dxf>
      <alignment horizontal="general" vertical="bottom" textRotation="0" wrapText="1" indent="0" justifyLastLine="0" shrinkToFit="0" readingOrder="0"/>
    </dxf>
    <dxf>
      <numFmt numFmtId="21" formatCode="dd/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21" formatCode="dd/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D86DC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BRS Vote Share by 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D86DC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Division_Shares!$B$1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Division_Shares!$B$2:$B$15</c:f>
              <c:numCache>
                <c:formatCode>General</c:formatCode>
                <c:ptCount val="14"/>
                <c:pt idx="0">
                  <c:v>2023</c:v>
                </c:pt>
                <c:pt idx="1">
                  <c:v>2025</c:v>
                </c:pt>
                <c:pt idx="2">
                  <c:v>2023</c:v>
                </c:pt>
                <c:pt idx="3">
                  <c:v>2025</c:v>
                </c:pt>
                <c:pt idx="4">
                  <c:v>2023</c:v>
                </c:pt>
                <c:pt idx="5">
                  <c:v>2025</c:v>
                </c:pt>
                <c:pt idx="6">
                  <c:v>2023</c:v>
                </c:pt>
                <c:pt idx="7">
                  <c:v>2025</c:v>
                </c:pt>
                <c:pt idx="8">
                  <c:v>2023</c:v>
                </c:pt>
                <c:pt idx="9">
                  <c:v>2025</c:v>
                </c:pt>
                <c:pt idx="10">
                  <c:v>2023</c:v>
                </c:pt>
                <c:pt idx="11">
                  <c:v>2025</c:v>
                </c:pt>
                <c:pt idx="12">
                  <c:v>2023</c:v>
                </c:pt>
                <c:pt idx="13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5-4EC9-BD9F-17CB73E8AE2E}"/>
            </c:ext>
          </c:extLst>
        </c:ser>
        <c:ser>
          <c:idx val="1"/>
          <c:order val="1"/>
          <c:tx>
            <c:strRef>
              <c:f>Division_Shares!$C$1</c:f>
              <c:strCache>
                <c:ptCount val="1"/>
                <c:pt idx="0">
                  <c:v>BRS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Division_Shares!$C$2:$C$15</c:f>
              <c:numCache>
                <c:formatCode>General</c:formatCode>
                <c:ptCount val="14"/>
                <c:pt idx="0">
                  <c:v>37.1</c:v>
                </c:pt>
                <c:pt idx="1">
                  <c:v>40.6</c:v>
                </c:pt>
                <c:pt idx="2">
                  <c:v>44.1</c:v>
                </c:pt>
                <c:pt idx="3">
                  <c:v>50.6</c:v>
                </c:pt>
                <c:pt idx="4">
                  <c:v>45.4</c:v>
                </c:pt>
                <c:pt idx="5">
                  <c:v>49.1</c:v>
                </c:pt>
                <c:pt idx="6">
                  <c:v>46</c:v>
                </c:pt>
                <c:pt idx="7">
                  <c:v>45.2</c:v>
                </c:pt>
                <c:pt idx="8">
                  <c:v>45.2</c:v>
                </c:pt>
                <c:pt idx="9">
                  <c:v>59.1</c:v>
                </c:pt>
                <c:pt idx="10">
                  <c:v>45.8</c:v>
                </c:pt>
                <c:pt idx="11">
                  <c:v>53</c:v>
                </c:pt>
                <c:pt idx="12">
                  <c:v>44.7</c:v>
                </c:pt>
                <c:pt idx="13">
                  <c:v>48.7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95-4EC9-BD9F-17CB73E8AE2E}"/>
            </c:ext>
          </c:extLst>
        </c:ser>
        <c:ser>
          <c:idx val="2"/>
          <c:order val="2"/>
          <c:tx>
            <c:strRef>
              <c:f>Division_Shares!$D$1</c:f>
              <c:strCache>
                <c:ptCount val="1"/>
                <c:pt idx="0">
                  <c:v>INC</c:v>
                </c:pt>
              </c:strCache>
            </c:strRef>
          </c:tx>
          <c:spPr>
            <a:solidFill>
              <a:srgbClr val="215C98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Division_Shares!$D$2:$D$15</c:f>
              <c:numCache>
                <c:formatCode>General</c:formatCode>
                <c:ptCount val="14"/>
                <c:pt idx="0">
                  <c:v>33.6</c:v>
                </c:pt>
                <c:pt idx="1">
                  <c:v>46.6</c:v>
                </c:pt>
                <c:pt idx="2">
                  <c:v>38.200000000000003</c:v>
                </c:pt>
                <c:pt idx="3">
                  <c:v>35.299999999999997</c:v>
                </c:pt>
                <c:pt idx="4">
                  <c:v>36.5</c:v>
                </c:pt>
                <c:pt idx="5">
                  <c:v>38.200000000000003</c:v>
                </c:pt>
                <c:pt idx="6">
                  <c:v>35.700000000000003</c:v>
                </c:pt>
                <c:pt idx="7">
                  <c:v>41.9</c:v>
                </c:pt>
                <c:pt idx="8">
                  <c:v>34.5</c:v>
                </c:pt>
                <c:pt idx="9">
                  <c:v>34.1</c:v>
                </c:pt>
                <c:pt idx="10">
                  <c:v>32.4</c:v>
                </c:pt>
                <c:pt idx="11">
                  <c:v>34.200000000000003</c:v>
                </c:pt>
                <c:pt idx="12">
                  <c:v>35.5</c:v>
                </c:pt>
                <c:pt idx="13">
                  <c:v>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95-4EC9-BD9F-17CB73E8AE2E}"/>
            </c:ext>
          </c:extLst>
        </c:ser>
        <c:ser>
          <c:idx val="3"/>
          <c:order val="3"/>
          <c:tx>
            <c:strRef>
              <c:f>Division_Shares!$E$1</c:f>
              <c:strCache>
                <c:ptCount val="1"/>
                <c:pt idx="0">
                  <c:v>BJP</c:v>
                </c:pt>
              </c:strCache>
            </c:strRef>
          </c:tx>
          <c:spPr>
            <a:solidFill>
              <a:srgbClr val="E87331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Division_Shares!$E$2:$E$15</c:f>
              <c:numCache>
                <c:formatCode>General</c:formatCode>
                <c:ptCount val="14"/>
                <c:pt idx="0">
                  <c:v>15.9</c:v>
                </c:pt>
                <c:pt idx="1">
                  <c:v>5.7</c:v>
                </c:pt>
                <c:pt idx="2">
                  <c:v>14.6</c:v>
                </c:pt>
                <c:pt idx="3">
                  <c:v>7.1</c:v>
                </c:pt>
                <c:pt idx="4">
                  <c:v>10.199999999999999</c:v>
                </c:pt>
                <c:pt idx="5">
                  <c:v>10</c:v>
                </c:pt>
                <c:pt idx="6">
                  <c:v>14.2</c:v>
                </c:pt>
                <c:pt idx="7">
                  <c:v>8.5</c:v>
                </c:pt>
                <c:pt idx="8">
                  <c:v>15.4</c:v>
                </c:pt>
                <c:pt idx="9">
                  <c:v>3.9</c:v>
                </c:pt>
                <c:pt idx="10">
                  <c:v>14.3</c:v>
                </c:pt>
                <c:pt idx="11">
                  <c:v>6.8</c:v>
                </c:pt>
                <c:pt idx="12">
                  <c:v>15.3</c:v>
                </c:pt>
                <c:pt idx="13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95-4EC9-BD9F-17CB73E8AE2E}"/>
            </c:ext>
          </c:extLst>
        </c:ser>
        <c:ser>
          <c:idx val="4"/>
          <c:order val="4"/>
          <c:tx>
            <c:strRef>
              <c:f>Division_Shares!$F$1</c:f>
              <c:strCache>
                <c:ptCount val="1"/>
                <c:pt idx="0">
                  <c:v>AIMIM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Division_Shares!$F$2:$F$15</c:f>
              <c:numCache>
                <c:formatCode>General</c:formatCode>
                <c:ptCount val="14"/>
                <c:pt idx="0">
                  <c:v>10.8</c:v>
                </c:pt>
                <c:pt idx="1">
                  <c:v>0</c:v>
                </c:pt>
                <c:pt idx="2">
                  <c:v>0.7</c:v>
                </c:pt>
                <c:pt idx="3">
                  <c:v>7.1</c:v>
                </c:pt>
                <c:pt idx="4">
                  <c:v>5.2</c:v>
                </c:pt>
                <c:pt idx="5">
                  <c:v>0</c:v>
                </c:pt>
                <c:pt idx="6">
                  <c:v>1.4</c:v>
                </c:pt>
                <c:pt idx="7">
                  <c:v>4.4000000000000004</c:v>
                </c:pt>
                <c:pt idx="8">
                  <c:v>2.2000000000000002</c:v>
                </c:pt>
                <c:pt idx="9">
                  <c:v>2.9</c:v>
                </c:pt>
                <c:pt idx="10">
                  <c:v>4.9000000000000004</c:v>
                </c:pt>
                <c:pt idx="11">
                  <c:v>6</c:v>
                </c:pt>
                <c:pt idx="12">
                  <c:v>1.9</c:v>
                </c:pt>
                <c:pt idx="13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95-4EC9-BD9F-17CB73E8AE2E}"/>
            </c:ext>
          </c:extLst>
        </c:ser>
        <c:ser>
          <c:idx val="5"/>
          <c:order val="5"/>
          <c:tx>
            <c:strRef>
              <c:f>Division_Shares!$G$1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Division_Shares!$G$2:$G$15</c:f>
              <c:numCache>
                <c:formatCode>General</c:formatCode>
                <c:ptCount val="14"/>
                <c:pt idx="0">
                  <c:v>2.7</c:v>
                </c:pt>
                <c:pt idx="1">
                  <c:v>7.1</c:v>
                </c:pt>
                <c:pt idx="2">
                  <c:v>2.4</c:v>
                </c:pt>
                <c:pt idx="3">
                  <c:v>0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0</c:v>
                </c:pt>
                <c:pt idx="8">
                  <c:v>2.7</c:v>
                </c:pt>
                <c:pt idx="9">
                  <c:v>0</c:v>
                </c:pt>
                <c:pt idx="10">
                  <c:v>2.6</c:v>
                </c:pt>
                <c:pt idx="11">
                  <c:v>0</c:v>
                </c:pt>
                <c:pt idx="12">
                  <c:v>2.7</c:v>
                </c:pt>
                <c:pt idx="13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95-4EC9-BD9F-17CB73E8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7"/>
        <c:overlap val="-27"/>
        <c:axId val="1216221192"/>
        <c:axId val="1216223240"/>
      </c:barChart>
      <c:catAx>
        <c:axId val="121622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23240"/>
        <c:crosses val="autoZero"/>
        <c:auto val="1"/>
        <c:lblAlgn val="ctr"/>
        <c:lblOffset val="100"/>
        <c:noMultiLvlLbl val="0"/>
      </c:catAx>
      <c:valAx>
        <c:axId val="121622324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2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Division_Shares!$B$2:$B$15</c:f>
              <c:numCache>
                <c:formatCode>General</c:formatCode>
                <c:ptCount val="14"/>
                <c:pt idx="0">
                  <c:v>2023</c:v>
                </c:pt>
                <c:pt idx="1">
                  <c:v>2025</c:v>
                </c:pt>
                <c:pt idx="2">
                  <c:v>2023</c:v>
                </c:pt>
                <c:pt idx="3">
                  <c:v>2025</c:v>
                </c:pt>
                <c:pt idx="4">
                  <c:v>2023</c:v>
                </c:pt>
                <c:pt idx="5">
                  <c:v>2025</c:v>
                </c:pt>
                <c:pt idx="6">
                  <c:v>2023</c:v>
                </c:pt>
                <c:pt idx="7">
                  <c:v>2025</c:v>
                </c:pt>
                <c:pt idx="8">
                  <c:v>2023</c:v>
                </c:pt>
                <c:pt idx="9">
                  <c:v>2025</c:v>
                </c:pt>
                <c:pt idx="10">
                  <c:v>2023</c:v>
                </c:pt>
                <c:pt idx="11">
                  <c:v>2025</c:v>
                </c:pt>
                <c:pt idx="12">
                  <c:v>2023</c:v>
                </c:pt>
                <c:pt idx="13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1-455F-8365-E8093F2B0844}"/>
            </c:ext>
          </c:extLst>
        </c:ser>
        <c:ser>
          <c:idx val="1"/>
          <c:order val="1"/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Division_Shares!$C$2:$C$15</c:f>
              <c:numCache>
                <c:formatCode>General</c:formatCode>
                <c:ptCount val="14"/>
                <c:pt idx="0">
                  <c:v>37.1</c:v>
                </c:pt>
                <c:pt idx="1">
                  <c:v>40.6</c:v>
                </c:pt>
                <c:pt idx="2">
                  <c:v>44.1</c:v>
                </c:pt>
                <c:pt idx="3">
                  <c:v>50.6</c:v>
                </c:pt>
                <c:pt idx="4">
                  <c:v>45.4</c:v>
                </c:pt>
                <c:pt idx="5">
                  <c:v>49.1</c:v>
                </c:pt>
                <c:pt idx="6">
                  <c:v>46</c:v>
                </c:pt>
                <c:pt idx="7">
                  <c:v>45.2</c:v>
                </c:pt>
                <c:pt idx="8">
                  <c:v>45.2</c:v>
                </c:pt>
                <c:pt idx="9">
                  <c:v>59.1</c:v>
                </c:pt>
                <c:pt idx="10">
                  <c:v>45.8</c:v>
                </c:pt>
                <c:pt idx="11">
                  <c:v>53</c:v>
                </c:pt>
                <c:pt idx="12">
                  <c:v>44.7</c:v>
                </c:pt>
                <c:pt idx="13">
                  <c:v>48.7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11-455F-8365-E8093F2B0844}"/>
            </c:ext>
          </c:extLst>
        </c:ser>
        <c:ser>
          <c:idx val="2"/>
          <c:order val="2"/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Division_Shares!$D$2:$D$15</c:f>
              <c:numCache>
                <c:formatCode>General</c:formatCode>
                <c:ptCount val="14"/>
                <c:pt idx="0">
                  <c:v>33.6</c:v>
                </c:pt>
                <c:pt idx="1">
                  <c:v>46.6</c:v>
                </c:pt>
                <c:pt idx="2">
                  <c:v>38.200000000000003</c:v>
                </c:pt>
                <c:pt idx="3">
                  <c:v>35.299999999999997</c:v>
                </c:pt>
                <c:pt idx="4">
                  <c:v>36.5</c:v>
                </c:pt>
                <c:pt idx="5">
                  <c:v>38.200000000000003</c:v>
                </c:pt>
                <c:pt idx="6">
                  <c:v>35.700000000000003</c:v>
                </c:pt>
                <c:pt idx="7">
                  <c:v>41.9</c:v>
                </c:pt>
                <c:pt idx="8">
                  <c:v>34.5</c:v>
                </c:pt>
                <c:pt idx="9">
                  <c:v>34.1</c:v>
                </c:pt>
                <c:pt idx="10">
                  <c:v>32.4</c:v>
                </c:pt>
                <c:pt idx="11">
                  <c:v>34.200000000000003</c:v>
                </c:pt>
                <c:pt idx="12">
                  <c:v>35.5</c:v>
                </c:pt>
                <c:pt idx="13">
                  <c:v>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11-455F-8365-E8093F2B0844}"/>
            </c:ext>
          </c:extLst>
        </c:ser>
        <c:ser>
          <c:idx val="3"/>
          <c:order val="3"/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Division_Shares!$E$2:$E$15</c:f>
              <c:numCache>
                <c:formatCode>General</c:formatCode>
                <c:ptCount val="14"/>
                <c:pt idx="0">
                  <c:v>15.9</c:v>
                </c:pt>
                <c:pt idx="1">
                  <c:v>5.7</c:v>
                </c:pt>
                <c:pt idx="2">
                  <c:v>14.6</c:v>
                </c:pt>
                <c:pt idx="3">
                  <c:v>7.1</c:v>
                </c:pt>
                <c:pt idx="4">
                  <c:v>10.199999999999999</c:v>
                </c:pt>
                <c:pt idx="5">
                  <c:v>10</c:v>
                </c:pt>
                <c:pt idx="6">
                  <c:v>14.2</c:v>
                </c:pt>
                <c:pt idx="7">
                  <c:v>8.5</c:v>
                </c:pt>
                <c:pt idx="8">
                  <c:v>15.4</c:v>
                </c:pt>
                <c:pt idx="9">
                  <c:v>3.9</c:v>
                </c:pt>
                <c:pt idx="10">
                  <c:v>14.3</c:v>
                </c:pt>
                <c:pt idx="11">
                  <c:v>6.8</c:v>
                </c:pt>
                <c:pt idx="12">
                  <c:v>15.3</c:v>
                </c:pt>
                <c:pt idx="13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11-455F-8365-E8093F2B0844}"/>
            </c:ext>
          </c:extLst>
        </c:ser>
        <c:ser>
          <c:idx val="4"/>
          <c:order val="4"/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Division_Shares!$F$2:$F$15</c:f>
              <c:numCache>
                <c:formatCode>General</c:formatCode>
                <c:ptCount val="14"/>
                <c:pt idx="0">
                  <c:v>10.8</c:v>
                </c:pt>
                <c:pt idx="1">
                  <c:v>0</c:v>
                </c:pt>
                <c:pt idx="2">
                  <c:v>0.7</c:v>
                </c:pt>
                <c:pt idx="3">
                  <c:v>7.1</c:v>
                </c:pt>
                <c:pt idx="4">
                  <c:v>5.2</c:v>
                </c:pt>
                <c:pt idx="5">
                  <c:v>0</c:v>
                </c:pt>
                <c:pt idx="6">
                  <c:v>1.4</c:v>
                </c:pt>
                <c:pt idx="7">
                  <c:v>4.4000000000000004</c:v>
                </c:pt>
                <c:pt idx="8">
                  <c:v>2.2000000000000002</c:v>
                </c:pt>
                <c:pt idx="9">
                  <c:v>2.9</c:v>
                </c:pt>
                <c:pt idx="10">
                  <c:v>4.9000000000000004</c:v>
                </c:pt>
                <c:pt idx="11">
                  <c:v>6</c:v>
                </c:pt>
                <c:pt idx="12">
                  <c:v>1.9</c:v>
                </c:pt>
                <c:pt idx="13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11-455F-8365-E8093F2B0844}"/>
            </c:ext>
          </c:extLst>
        </c:ser>
        <c:ser>
          <c:idx val="5"/>
          <c:order val="5"/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Division_Shares!$A$2:$A$15</c:f>
              <c:strCache>
                <c:ptCount val="14"/>
                <c:pt idx="0">
                  <c:v>Shaikpet</c:v>
                </c:pt>
                <c:pt idx="1">
                  <c:v>Shaikpet</c:v>
                </c:pt>
                <c:pt idx="2">
                  <c:v>Srinagar Colony</c:v>
                </c:pt>
                <c:pt idx="3">
                  <c:v>Srinagar Colony</c:v>
                </c:pt>
                <c:pt idx="4">
                  <c:v>Vengal Rao Nagar</c:v>
                </c:pt>
                <c:pt idx="5">
                  <c:v>Vengal Rao Nagar</c:v>
                </c:pt>
                <c:pt idx="6">
                  <c:v>Yousufguda</c:v>
                </c:pt>
                <c:pt idx="7">
                  <c:v>Yousufguda</c:v>
                </c:pt>
                <c:pt idx="8">
                  <c:v>Borabanda</c:v>
                </c:pt>
                <c:pt idx="9">
                  <c:v>Borabanda</c:v>
                </c:pt>
                <c:pt idx="10">
                  <c:v>Erragadda</c:v>
                </c:pt>
                <c:pt idx="11">
                  <c:v>Erragadda</c:v>
                </c:pt>
                <c:pt idx="12">
                  <c:v>Rehmat Nagar</c:v>
                </c:pt>
                <c:pt idx="13">
                  <c:v>Rehmat Nagar</c:v>
                </c:pt>
              </c:strCache>
            </c:strRef>
          </c:cat>
          <c:val>
            <c:numRef>
              <c:f>Division_Shares!$G$2:$G$15</c:f>
              <c:numCache>
                <c:formatCode>General</c:formatCode>
                <c:ptCount val="14"/>
                <c:pt idx="0">
                  <c:v>2.7</c:v>
                </c:pt>
                <c:pt idx="1">
                  <c:v>7.1</c:v>
                </c:pt>
                <c:pt idx="2">
                  <c:v>2.4</c:v>
                </c:pt>
                <c:pt idx="3">
                  <c:v>0</c:v>
                </c:pt>
                <c:pt idx="4">
                  <c:v>2.7</c:v>
                </c:pt>
                <c:pt idx="5">
                  <c:v>2.7</c:v>
                </c:pt>
                <c:pt idx="6">
                  <c:v>2.7</c:v>
                </c:pt>
                <c:pt idx="7">
                  <c:v>0</c:v>
                </c:pt>
                <c:pt idx="8">
                  <c:v>2.7</c:v>
                </c:pt>
                <c:pt idx="9">
                  <c:v>0</c:v>
                </c:pt>
                <c:pt idx="10">
                  <c:v>2.6</c:v>
                </c:pt>
                <c:pt idx="11">
                  <c:v>0</c:v>
                </c:pt>
                <c:pt idx="12">
                  <c:v>2.7</c:v>
                </c:pt>
                <c:pt idx="13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11-455F-8365-E8093F2B0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390728"/>
        <c:axId val="119392776"/>
      </c:barChart>
      <c:catAx>
        <c:axId val="119390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776"/>
        <c:crosses val="autoZero"/>
        <c:auto val="1"/>
        <c:lblAlgn val="ctr"/>
        <c:lblOffset val="100"/>
        <c:noMultiLvlLbl val="0"/>
      </c:catAx>
      <c:valAx>
        <c:axId val="11939277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409575</xdr:colOff>
      <xdr:row>7</xdr:row>
      <xdr:rowOff>95250</xdr:rowOff>
    </xdr:from>
    <xdr:to>
      <xdr:col>17</xdr:col>
      <xdr:colOff>428625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34257-46EF-66EF-0636-DAC67AE19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571500</xdr:colOff>
      <xdr:row>17</xdr:row>
      <xdr:rowOff>28575</xdr:rowOff>
    </xdr:from>
    <xdr:to>
      <xdr:col>9</xdr:col>
      <xdr:colOff>266700</xdr:colOff>
      <xdr:row>31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95C056-F954-64E5-7E91-9F716FBCE30D}"/>
            </a:ext>
            <a:ext uri="{147F2762-F138-4A5C-976F-8EAC2B608ADB}">
              <a16:predDERef xmlns:a16="http://schemas.microsoft.com/office/drawing/2014/main" pred="{A5434257-46EF-66EF-0636-DAC67AE19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6F9B37-D198-472C-9E65-084890383624}" name="Table1" displayName="Table1" ref="A1:B9" totalsRowShown="0" headerRowDxfId="16">
  <autoFilter ref="A1:B9" xr:uid="{CB6F9B37-D198-472C-9E65-084890383624}"/>
  <tableColumns count="2">
    <tableColumn id="1" xr3:uid="{77160FE2-5D3F-4BA6-9830-19768818CEB7}" name="Metric"/>
    <tableColumn id="2" xr3:uid="{14A530A2-EE5E-42F9-94C1-449E1CAC01EF}" name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73CCA4-E4C5-471B-B6D1-D37053B28501}" name="Table2" displayName="Table2" ref="A1:G15" totalsRowShown="0" headerRowDxfId="15">
  <autoFilter ref="A1:G15" xr:uid="{4D73CCA4-E4C5-471B-B6D1-D37053B28501}"/>
  <tableColumns count="7">
    <tableColumn id="1" xr3:uid="{69AAC6F4-9946-4EB8-8BC2-9D131381A08C}" name="Division"/>
    <tableColumn id="2" xr3:uid="{9D5E71E6-CCB8-43C1-A003-7857E9B35DF9}" name="Year"/>
    <tableColumn id="3" xr3:uid="{EEBF97E4-F56B-430E-84E6-6F19701272C9}" name="BRS"/>
    <tableColumn id="4" xr3:uid="{9D89F155-474C-4DB4-99B0-0EE108504834}" name="INC"/>
    <tableColumn id="5" xr3:uid="{1B01BAF9-BFF8-4F5D-AA3F-BF37FA59A65D}" name="BJP"/>
    <tableColumn id="6" xr3:uid="{34BA4B58-2155-40EF-8669-28D92057CC5A}" name="AIMIM"/>
    <tableColumn id="7" xr3:uid="{52B8D3DD-84D5-472C-96D3-EE5FEA7F5F4D}" name="Oth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847596-6122-4014-9A36-FC4C04EE719A}" name="Table3" displayName="Table3" ref="A1:E8" totalsRowShown="0" headerRowDxfId="14">
  <autoFilter ref="A1:E8" xr:uid="{64847596-6122-4014-9A36-FC4C04EE719A}"/>
  <tableColumns count="5">
    <tableColumn id="1" xr3:uid="{ADC92C10-AFC1-4CAE-ACE4-5F09E4A76FB1}" name="Division"/>
    <tableColumn id="2" xr3:uid="{8B6530DF-43C9-4945-A63C-93F42D597C73}" name="BRS_Delta"/>
    <tableColumn id="3" xr3:uid="{C8D590C2-395B-487C-AE15-C38306BC932C}" name="INC_Delta"/>
    <tableColumn id="4" xr3:uid="{06945E6E-CF2B-408B-B63E-42CDFD23735C}" name="BJP_Delta"/>
    <tableColumn id="5" xr3:uid="{9DC726D9-A2EC-4BFF-BE4B-E8D4479425F1}" name="AIMIM_Del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BB69DF7-0EC0-4E95-8FD7-E528457B2D71}" name="Table4" displayName="Table4" ref="A1:E16" totalsRowShown="0" headerRowDxfId="13">
  <autoFilter ref="A1:E16" xr:uid="{7BB69DF7-0EC0-4E95-8FD7-E528457B2D71}"/>
  <tableColumns count="5">
    <tableColumn id="1" xr3:uid="{E473765A-8595-4183-9A1A-B7CD926A457B}" name="Subgroup"/>
    <tableColumn id="2" xr3:uid="{BD35FEF6-60A0-4DA6-A4FB-9878B1430981}" name="BRS"/>
    <tableColumn id="3" xr3:uid="{A60B226F-3A6E-4F2F-ACF7-94B9359EB9C5}" name="INC"/>
    <tableColumn id="4" xr3:uid="{F678B835-687E-48E1-BDE2-2B9A51481AAE}" name="BJP"/>
    <tableColumn id="5" xr3:uid="{AA4A435B-82F9-4E0D-8129-ABF3DC61C4E9}" name="AIMI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FF3A32-59C7-4484-9441-EDC92EAADC25}" name="Table5" displayName="Table5" ref="A1:H6" totalsRowShown="0" headerRowDxfId="12">
  <autoFilter ref="A1:H6" xr:uid="{C9FF3A32-59C7-4484-9441-EDC92EAADC25}"/>
  <tableColumns count="8">
    <tableColumn id="1" xr3:uid="{AF9FFA3C-B1C6-4914-8772-E3993E02C748}" name="Survey"/>
    <tableColumn id="2" xr3:uid="{7ADFFA0B-0459-4AB0-A7A5-F15ED4E51116}" name="Sample"/>
    <tableColumn id="3" xr3:uid="{A85CFB59-BC58-4A58-8F6D-9B4B38F56A87}" name="Area" dataDxfId="11"/>
    <tableColumn id="4" xr3:uid="{4C9C0EF8-CFFF-4E6C-80B3-966D0395DCDE}" name="Year"/>
    <tableColumn id="5" xr3:uid="{2A532BC6-B871-49C6-8C35-4D4CD358A066}" name="BRS"/>
    <tableColumn id="6" xr3:uid="{16C5A635-6B2E-42BB-9BAF-4FE75BFC39C0}" name="INC"/>
    <tableColumn id="7" xr3:uid="{2F402460-7C3C-4104-AF6A-E331A12D5234}" name="BJP"/>
    <tableColumn id="8" xr3:uid="{B8CFF9A1-3AA0-4102-A411-ACC7A4EDA1FC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6844CD-DE7C-43A5-9170-A2DCB5030632}" name="Table6" displayName="Table6" ref="A1:F9" totalsRowShown="0" headerRowDxfId="10">
  <autoFilter ref="A1:F9" xr:uid="{116844CD-DE7C-43A5-9170-A2DCB5030632}"/>
  <tableColumns count="6">
    <tableColumn id="1" xr3:uid="{E4793850-1094-4D47-BE85-026FF6FDF225}" name="Year"/>
    <tableColumn id="2" xr3:uid="{5BC23BD4-36F8-4518-8EBC-B17002E9BF7E}" name="Party"/>
    <tableColumn id="3" xr3:uid="{1682F357-9F40-4128-81C0-5F45F7FDF0B4}" name="Candidate"/>
    <tableColumn id="4" xr3:uid="{5197DF3B-C37D-4324-BEBD-0205E4523E36}" name="Votes" dataDxfId="9"/>
    <tableColumn id="5" xr3:uid="{B8794CCB-C914-4593-8F60-1D47E32E1FAF}" name="Pct"/>
    <tableColumn id="6" xr3:uid="{89D254F1-A584-4DE0-B9F4-1EEF5C3EBB6E}" name="Turnout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956CF2-2C0C-4C87-BCC3-17422D8A0523}" name="Table7" displayName="Table7" ref="A1:K11" totalsRowShown="0" headerRowDxfId="7">
  <autoFilter ref="A1:K11" xr:uid="{AE956CF2-2C0C-4C87-BCC3-17422D8A0523}"/>
  <tableColumns count="11">
    <tableColumn id="1" xr3:uid="{FAFAABF9-EFD1-4F36-998B-063F96A3BA48}" name="Date" dataDxfId="6"/>
    <tableColumn id="2" xr3:uid="{8F44F316-550B-46B2-B3D7-BD4A62351297}" name="Party"/>
    <tableColumn id="3" xr3:uid="{85BB8E6D-442F-4954-958C-B20BF8046EEB}" name="#Posts"/>
    <tableColumn id="4" xr3:uid="{D8B410CC-6445-40F4-9C68-A885C8852B37}" name="Likes"/>
    <tableColumn id="5" xr3:uid="{661F37AD-6055-4145-949E-F0639557B220}" name="Shares"/>
    <tableColumn id="6" xr3:uid="{82DC9C75-91FB-4690-BC3D-D6E1D3D35110}" name="Comments"/>
    <tableColumn id="7" xr3:uid="{AB7B97BB-E1EF-4DB3-9669-A39A73E9037B}" name="Impressions"/>
    <tableColumn id="8" xr3:uid="{DA9AD086-1E4E-4EDD-9EE9-33B6CEA2F070}" name="Reach"/>
    <tableColumn id="9" xr3:uid="{B29AE2E0-EA97-4BC6-B890-80B7BF7A1AA4}" name="Engagement_Total"/>
    <tableColumn id="10" xr3:uid="{43532759-7EB8-4C9F-BF08-F13AE44E1780}" name="Notes" dataDxfId="5"/>
    <tableColumn id="11" xr3:uid="{A5BCD7AC-3BFF-457D-B46E-A840D65FCD57}" name="Column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9FEF87-F17D-4767-8297-CC3C7AD465DC}" name="Table8" displayName="Table8" ref="A1:G21" totalsRowShown="0" headerRowDxfId="4">
  <autoFilter ref="A1:G21" xr:uid="{549FEF87-F17D-4767-8297-CC3C7AD465DC}"/>
  <tableColumns count="7">
    <tableColumn id="1" xr3:uid="{9DF7AD82-3CDB-48EE-96D8-A288257893A9}" name="Category"/>
    <tableColumn id="2" xr3:uid="{DFD5B6DE-AD07-4490-ACF0-9387F2559334}" name="Subcategory"/>
    <tableColumn id="3" xr3:uid="{7A4A3907-C7C0-4700-B0B5-C94C09BDB820}" name="Congress" dataDxfId="3"/>
    <tableColumn id="4" xr3:uid="{1F71ED09-9565-42A0-93C7-D2BD842DFB1F}" name="BRS"/>
    <tableColumn id="5" xr3:uid="{1B0E104B-6057-496A-ADC3-062CC3AA24E1}" name="BJP"/>
    <tableColumn id="6" xr3:uid="{94C325AA-8644-4730-89BC-A2ED2CD84A17}" name="Notes"/>
    <tableColumn id="7" xr3:uid="{A71EFAD2-2E5E-4CA5-9FF6-4F154DF0BE6B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CD31ADF-87BE-41CE-9361-C08C571A322A}" name="Table9" displayName="Table9" ref="A1:G13" totalsRowShown="0" headerRowDxfId="2">
  <autoFilter ref="A1:G13" xr:uid="{9CD31ADF-87BE-41CE-9361-C08C571A322A}"/>
  <tableColumns count="7">
    <tableColumn id="1" xr3:uid="{D474010F-6DDC-475C-8693-DA24B9F14B29}" name="Date" dataDxfId="1"/>
    <tableColumn id="2" xr3:uid="{F3C4D961-0E21-414F-B68D-6C62C42A3CA4}" name="Party"/>
    <tableColumn id="3" xr3:uid="{24A27EFD-78D9-4320-9396-C7DBA92EB0DA}" name="Leader(s) / VIP" dataDxfId="0"/>
    <tableColumn id="4" xr3:uid="{A10549FD-1817-4CBE-AEBB-698129EAFE69}" name="Event Type"/>
    <tableColumn id="5" xr3:uid="{4F290D9C-73CD-4976-933C-861985FEA84F}" name="Area / Division"/>
    <tableColumn id="6" xr3:uid="{D684C5EC-7744-47B7-98D2-6B8E2F3CA3D4}" name="Attendance"/>
    <tableColumn id="7" xr3:uid="{923790CE-6C21-4A25-B526-EF49FC7E213E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sqref="A1:B9"/>
    </sheetView>
  </sheetViews>
  <sheetFormatPr defaultRowHeight="15"/>
  <cols>
    <col min="1" max="1" width="13.570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399000</v>
      </c>
    </row>
    <row r="3" spans="1:2">
      <c r="A3" t="s">
        <v>3</v>
      </c>
      <c r="B3">
        <v>207000</v>
      </c>
    </row>
    <row r="4" spans="1:2">
      <c r="A4" t="s">
        <v>4</v>
      </c>
      <c r="B4">
        <v>191000</v>
      </c>
    </row>
    <row r="5" spans="1:2">
      <c r="A5" t="s">
        <v>5</v>
      </c>
      <c r="B5">
        <v>6106</v>
      </c>
    </row>
    <row r="6" spans="1:2">
      <c r="A6" t="s">
        <v>6</v>
      </c>
      <c r="B6">
        <v>72000</v>
      </c>
    </row>
    <row r="7" spans="1:2">
      <c r="A7" t="s">
        <v>7</v>
      </c>
      <c r="B7">
        <v>97000</v>
      </c>
    </row>
    <row r="8" spans="1:2">
      <c r="A8" t="s">
        <v>8</v>
      </c>
      <c r="B8">
        <v>2613</v>
      </c>
    </row>
    <row r="9" spans="1:2">
      <c r="A9" t="s">
        <v>9</v>
      </c>
      <c r="B9">
        <v>1891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8D70-D7AD-4A9D-A918-BEFFF2F07AF8}">
  <dimension ref="A1:G15"/>
  <sheetViews>
    <sheetView tabSelected="1" workbookViewId="0">
      <selection activeCell="N25" sqref="N25"/>
    </sheetView>
  </sheetViews>
  <sheetFormatPr defaultRowHeight="15"/>
  <cols>
    <col min="1" max="1" width="15.85546875" bestFit="1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t="s">
        <v>17</v>
      </c>
      <c r="B2">
        <v>2023</v>
      </c>
      <c r="C2">
        <v>37.1</v>
      </c>
      <c r="D2">
        <v>33.6</v>
      </c>
      <c r="E2">
        <v>15.9</v>
      </c>
      <c r="F2">
        <v>10.8</v>
      </c>
      <c r="G2">
        <v>2.7</v>
      </c>
    </row>
    <row r="3" spans="1:7">
      <c r="A3" t="s">
        <v>17</v>
      </c>
      <c r="B3">
        <v>2025</v>
      </c>
      <c r="C3">
        <v>40.6</v>
      </c>
      <c r="D3">
        <v>46.6</v>
      </c>
      <c r="E3">
        <v>5.7</v>
      </c>
      <c r="F3">
        <v>0</v>
      </c>
      <c r="G3">
        <v>7.1</v>
      </c>
    </row>
    <row r="4" spans="1:7">
      <c r="A4" t="s">
        <v>18</v>
      </c>
      <c r="B4">
        <v>2023</v>
      </c>
      <c r="C4">
        <v>44.1</v>
      </c>
      <c r="D4">
        <v>38.200000000000003</v>
      </c>
      <c r="E4">
        <v>14.6</v>
      </c>
      <c r="F4">
        <v>0.7</v>
      </c>
      <c r="G4">
        <v>2.4</v>
      </c>
    </row>
    <row r="5" spans="1:7">
      <c r="A5" t="s">
        <v>18</v>
      </c>
      <c r="B5">
        <v>2025</v>
      </c>
      <c r="C5">
        <v>50.6</v>
      </c>
      <c r="D5">
        <v>35.299999999999997</v>
      </c>
      <c r="E5">
        <v>7.1</v>
      </c>
      <c r="F5">
        <v>7.1</v>
      </c>
      <c r="G5">
        <v>0</v>
      </c>
    </row>
    <row r="6" spans="1:7">
      <c r="A6" t="s">
        <v>19</v>
      </c>
      <c r="B6">
        <v>2023</v>
      </c>
      <c r="C6">
        <v>45.4</v>
      </c>
      <c r="D6">
        <v>36.5</v>
      </c>
      <c r="E6">
        <v>10.199999999999999</v>
      </c>
      <c r="F6">
        <v>5.2</v>
      </c>
      <c r="G6">
        <v>2.7</v>
      </c>
    </row>
    <row r="7" spans="1:7">
      <c r="A7" t="s">
        <v>19</v>
      </c>
      <c r="B7">
        <v>2025</v>
      </c>
      <c r="C7">
        <v>49.1</v>
      </c>
      <c r="D7">
        <v>38.200000000000003</v>
      </c>
      <c r="E7">
        <v>10</v>
      </c>
      <c r="F7">
        <v>0</v>
      </c>
      <c r="G7">
        <v>2.7</v>
      </c>
    </row>
    <row r="8" spans="1:7">
      <c r="A8" t="s">
        <v>20</v>
      </c>
      <c r="B8">
        <v>2023</v>
      </c>
      <c r="C8">
        <v>46</v>
      </c>
      <c r="D8">
        <v>35.700000000000003</v>
      </c>
      <c r="E8">
        <v>14.2</v>
      </c>
      <c r="F8">
        <v>1.4</v>
      </c>
      <c r="G8">
        <v>2.7</v>
      </c>
    </row>
    <row r="9" spans="1:7">
      <c r="A9" t="s">
        <v>20</v>
      </c>
      <c r="B9">
        <v>2025</v>
      </c>
      <c r="C9">
        <v>45.2</v>
      </c>
      <c r="D9">
        <v>41.9</v>
      </c>
      <c r="E9">
        <v>8.5</v>
      </c>
      <c r="F9">
        <v>4.4000000000000004</v>
      </c>
      <c r="G9">
        <v>0</v>
      </c>
    </row>
    <row r="10" spans="1:7">
      <c r="A10" t="s">
        <v>21</v>
      </c>
      <c r="B10">
        <v>2023</v>
      </c>
      <c r="C10">
        <v>45.2</v>
      </c>
      <c r="D10">
        <v>34.5</v>
      </c>
      <c r="E10">
        <v>15.4</v>
      </c>
      <c r="F10">
        <v>2.2000000000000002</v>
      </c>
      <c r="G10">
        <v>2.7</v>
      </c>
    </row>
    <row r="11" spans="1:7">
      <c r="A11" t="s">
        <v>21</v>
      </c>
      <c r="B11">
        <v>2025</v>
      </c>
      <c r="C11">
        <v>59.1</v>
      </c>
      <c r="D11">
        <v>34.1</v>
      </c>
      <c r="E11">
        <v>3.9</v>
      </c>
      <c r="F11">
        <v>2.9</v>
      </c>
      <c r="G11">
        <v>0</v>
      </c>
    </row>
    <row r="12" spans="1:7">
      <c r="A12" t="s">
        <v>22</v>
      </c>
      <c r="B12">
        <v>2023</v>
      </c>
      <c r="C12">
        <v>45.8</v>
      </c>
      <c r="D12">
        <v>32.4</v>
      </c>
      <c r="E12">
        <v>14.3</v>
      </c>
      <c r="F12">
        <v>4.9000000000000004</v>
      </c>
      <c r="G12">
        <v>2.6</v>
      </c>
    </row>
    <row r="13" spans="1:7">
      <c r="A13" t="s">
        <v>22</v>
      </c>
      <c r="B13">
        <v>2025</v>
      </c>
      <c r="C13">
        <v>53</v>
      </c>
      <c r="D13">
        <v>34.200000000000003</v>
      </c>
      <c r="E13">
        <v>6.8</v>
      </c>
      <c r="F13">
        <v>6</v>
      </c>
      <c r="G13">
        <v>0</v>
      </c>
    </row>
    <row r="14" spans="1:7">
      <c r="A14" t="s">
        <v>23</v>
      </c>
      <c r="B14">
        <v>2023</v>
      </c>
      <c r="C14">
        <v>44.7</v>
      </c>
      <c r="D14">
        <v>35.5</v>
      </c>
      <c r="E14">
        <v>15.3</v>
      </c>
      <c r="F14">
        <v>1.9</v>
      </c>
      <c r="G14">
        <v>2.7</v>
      </c>
    </row>
    <row r="15" spans="1:7">
      <c r="A15" t="s">
        <v>23</v>
      </c>
      <c r="B15">
        <v>2025</v>
      </c>
      <c r="C15">
        <v>48.7</v>
      </c>
      <c r="D15">
        <v>45.5</v>
      </c>
      <c r="E15">
        <v>2.4</v>
      </c>
      <c r="F15">
        <v>3.5</v>
      </c>
      <c r="G15">
        <v>2.7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D523-B1CF-46B2-B96B-ED6B1240829B}">
  <dimension ref="A1:E8"/>
  <sheetViews>
    <sheetView workbookViewId="0">
      <selection sqref="A1:E8"/>
    </sheetView>
  </sheetViews>
  <sheetFormatPr defaultRowHeight="15"/>
  <cols>
    <col min="1" max="1" width="15.85546875" bestFit="1" customWidth="1"/>
    <col min="2" max="2" width="12.28515625" bestFit="1" customWidth="1"/>
    <col min="3" max="3" width="12.140625" bestFit="1" customWidth="1"/>
    <col min="4" max="4" width="11.85546875" bestFit="1" customWidth="1"/>
    <col min="5" max="5" width="14.28515625" bestFit="1" customWidth="1"/>
  </cols>
  <sheetData>
    <row r="1" spans="1:5">
      <c r="A1" s="1" t="s">
        <v>10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t="s">
        <v>17</v>
      </c>
      <c r="B2">
        <v>3.5</v>
      </c>
      <c r="C2">
        <v>13</v>
      </c>
      <c r="D2">
        <v>-10.199999999999999</v>
      </c>
      <c r="E2">
        <v>-3.7</v>
      </c>
    </row>
    <row r="3" spans="1:5">
      <c r="A3" t="s">
        <v>18</v>
      </c>
      <c r="B3">
        <v>6.5</v>
      </c>
      <c r="C3">
        <v>-2.9</v>
      </c>
      <c r="D3">
        <v>-7.5</v>
      </c>
      <c r="E3">
        <v>6.4</v>
      </c>
    </row>
    <row r="4" spans="1:5">
      <c r="A4" t="s">
        <v>19</v>
      </c>
      <c r="B4">
        <v>3.7</v>
      </c>
      <c r="C4">
        <v>1.7</v>
      </c>
      <c r="D4">
        <v>-0.2</v>
      </c>
      <c r="E4">
        <v>-2.5</v>
      </c>
    </row>
    <row r="5" spans="1:5">
      <c r="A5" t="s">
        <v>20</v>
      </c>
      <c r="B5">
        <v>-0.8</v>
      </c>
      <c r="C5">
        <v>6.2</v>
      </c>
      <c r="D5">
        <v>-5.7</v>
      </c>
      <c r="E5">
        <v>3</v>
      </c>
    </row>
    <row r="6" spans="1:5">
      <c r="A6" t="s">
        <v>21</v>
      </c>
      <c r="B6">
        <v>13.9</v>
      </c>
      <c r="C6">
        <v>-0.4</v>
      </c>
      <c r="D6">
        <v>-11.5</v>
      </c>
      <c r="E6">
        <v>0.7</v>
      </c>
    </row>
    <row r="7" spans="1:5">
      <c r="A7" t="s">
        <v>22</v>
      </c>
      <c r="B7">
        <v>7.2</v>
      </c>
      <c r="C7">
        <v>1.8</v>
      </c>
      <c r="D7">
        <v>-7.5</v>
      </c>
      <c r="E7">
        <v>1.1000000000000001</v>
      </c>
    </row>
    <row r="8" spans="1:5">
      <c r="A8" t="s">
        <v>23</v>
      </c>
      <c r="B8">
        <v>4</v>
      </c>
      <c r="C8">
        <v>10</v>
      </c>
      <c r="D8">
        <v>-12.9</v>
      </c>
      <c r="E8">
        <v>1.6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86FBC-76A9-46AA-978A-6A152EBA4EDC}">
  <dimension ref="A1:E16"/>
  <sheetViews>
    <sheetView workbookViewId="0">
      <selection sqref="A1:E16"/>
    </sheetView>
  </sheetViews>
  <sheetFormatPr defaultRowHeight="15"/>
  <cols>
    <col min="1" max="1" width="11.5703125" bestFit="1" customWidth="1"/>
  </cols>
  <sheetData>
    <row r="1" spans="1:5">
      <c r="A1" s="1" t="s">
        <v>28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t="s">
        <v>29</v>
      </c>
      <c r="B2">
        <v>48.3</v>
      </c>
      <c r="C2">
        <v>42.2</v>
      </c>
      <c r="D2">
        <v>5.7</v>
      </c>
      <c r="E2">
        <v>3.8</v>
      </c>
    </row>
    <row r="3" spans="1:5">
      <c r="A3" t="s">
        <v>30</v>
      </c>
      <c r="B3">
        <v>50.2</v>
      </c>
      <c r="C3">
        <v>37.700000000000003</v>
      </c>
      <c r="D3">
        <v>4.5999999999999996</v>
      </c>
      <c r="E3">
        <v>7.5</v>
      </c>
    </row>
    <row r="4" spans="1:5">
      <c r="A4" t="s">
        <v>31</v>
      </c>
      <c r="B4">
        <v>43.7</v>
      </c>
      <c r="C4">
        <v>38.9</v>
      </c>
      <c r="D4">
        <v>8.4</v>
      </c>
      <c r="E4">
        <v>9</v>
      </c>
    </row>
    <row r="5" spans="1:5">
      <c r="A5" t="s">
        <v>32</v>
      </c>
      <c r="B5">
        <v>51</v>
      </c>
      <c r="C5">
        <v>39.700000000000003</v>
      </c>
      <c r="D5">
        <v>5</v>
      </c>
      <c r="E5">
        <v>4.3</v>
      </c>
    </row>
    <row r="6" spans="1:5">
      <c r="A6" t="s">
        <v>33</v>
      </c>
      <c r="B6">
        <v>51</v>
      </c>
      <c r="C6">
        <v>41.1</v>
      </c>
      <c r="D6">
        <v>4.3</v>
      </c>
      <c r="E6">
        <v>3.7</v>
      </c>
    </row>
    <row r="7" spans="1:5">
      <c r="A7" t="s">
        <v>34</v>
      </c>
      <c r="B7">
        <v>46.8</v>
      </c>
      <c r="C7">
        <v>41.4</v>
      </c>
      <c r="D7">
        <v>6.8</v>
      </c>
      <c r="E7">
        <v>5</v>
      </c>
    </row>
    <row r="8" spans="1:5">
      <c r="A8" t="s">
        <v>35</v>
      </c>
      <c r="B8">
        <v>36.9</v>
      </c>
      <c r="C8">
        <v>47.7</v>
      </c>
      <c r="D8">
        <v>7.4</v>
      </c>
      <c r="E8">
        <v>8.1</v>
      </c>
    </row>
    <row r="9" spans="1:5">
      <c r="A9" t="s">
        <v>36</v>
      </c>
      <c r="B9">
        <v>45.1</v>
      </c>
      <c r="C9">
        <v>41.8</v>
      </c>
      <c r="D9">
        <v>11.3</v>
      </c>
      <c r="E9">
        <v>1.7</v>
      </c>
    </row>
    <row r="10" spans="1:5">
      <c r="A10" t="s">
        <v>37</v>
      </c>
      <c r="B10">
        <v>51.6</v>
      </c>
      <c r="C10">
        <v>40.200000000000003</v>
      </c>
      <c r="D10">
        <v>1.3</v>
      </c>
      <c r="E10">
        <v>6.9</v>
      </c>
    </row>
    <row r="11" spans="1:5">
      <c r="A11" t="s">
        <v>38</v>
      </c>
      <c r="B11">
        <v>33.299999999999997</v>
      </c>
      <c r="C11">
        <v>48.5</v>
      </c>
      <c r="D11">
        <v>18.2</v>
      </c>
      <c r="E11">
        <v>0</v>
      </c>
    </row>
    <row r="12" spans="1:5">
      <c r="A12" t="s">
        <v>39</v>
      </c>
      <c r="B12">
        <v>65.2</v>
      </c>
      <c r="C12">
        <v>27.7</v>
      </c>
      <c r="D12">
        <v>4.8</v>
      </c>
      <c r="E12">
        <v>2.2999999999999998</v>
      </c>
    </row>
    <row r="13" spans="1:5">
      <c r="A13" t="s">
        <v>40</v>
      </c>
      <c r="B13">
        <v>45</v>
      </c>
      <c r="C13">
        <v>43.5</v>
      </c>
      <c r="D13">
        <v>6.2</v>
      </c>
      <c r="E13">
        <v>5.3</v>
      </c>
    </row>
    <row r="14" spans="1:5">
      <c r="A14" t="s">
        <v>41</v>
      </c>
      <c r="B14">
        <v>40.9</v>
      </c>
      <c r="C14">
        <v>46.7</v>
      </c>
      <c r="D14">
        <v>10.1</v>
      </c>
      <c r="E14">
        <v>2.2999999999999998</v>
      </c>
    </row>
    <row r="15" spans="1:5">
      <c r="A15" t="s">
        <v>42</v>
      </c>
      <c r="B15">
        <v>42.4</v>
      </c>
      <c r="C15">
        <v>42.4</v>
      </c>
      <c r="D15">
        <v>10.199999999999999</v>
      </c>
      <c r="E15">
        <v>5.0999999999999996</v>
      </c>
    </row>
    <row r="16" spans="1:5">
      <c r="A16" t="s">
        <v>43</v>
      </c>
      <c r="B16">
        <v>36.9</v>
      </c>
      <c r="C16">
        <v>52.9</v>
      </c>
      <c r="D16">
        <v>1.2</v>
      </c>
      <c r="E16">
        <v>8.9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55BD-71BB-46B4-92CB-01943E712170}">
  <dimension ref="A1:H6"/>
  <sheetViews>
    <sheetView workbookViewId="0">
      <selection sqref="A1:H6"/>
    </sheetView>
  </sheetViews>
  <sheetFormatPr defaultRowHeight="15"/>
  <cols>
    <col min="1" max="1" width="20" bestFit="1" customWidth="1"/>
    <col min="2" max="2" width="12.140625" bestFit="1" customWidth="1"/>
    <col min="3" max="3" width="36.5703125" bestFit="1" customWidth="1"/>
    <col min="8" max="8" width="14.28515625" bestFit="1" customWidth="1"/>
  </cols>
  <sheetData>
    <row r="1" spans="1:8">
      <c r="A1" s="1" t="s">
        <v>44</v>
      </c>
      <c r="B1" s="1" t="s">
        <v>45</v>
      </c>
      <c r="C1" s="3" t="s">
        <v>46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47</v>
      </c>
    </row>
    <row r="2" spans="1:8" ht="29.25">
      <c r="A2" t="s">
        <v>48</v>
      </c>
      <c r="B2">
        <v>2000</v>
      </c>
      <c r="C2" s="4" t="s">
        <v>49</v>
      </c>
      <c r="D2">
        <v>2025</v>
      </c>
      <c r="E2">
        <v>34.17</v>
      </c>
      <c r="F2">
        <v>48.32</v>
      </c>
      <c r="G2">
        <v>16.04</v>
      </c>
      <c r="H2" t="s">
        <v>50</v>
      </c>
    </row>
    <row r="3" spans="1:8">
      <c r="A3" t="s">
        <v>51</v>
      </c>
      <c r="B3" t="s">
        <v>52</v>
      </c>
      <c r="C3" s="4" t="s">
        <v>53</v>
      </c>
      <c r="D3">
        <v>2025</v>
      </c>
      <c r="E3">
        <v>51</v>
      </c>
      <c r="F3">
        <v>49</v>
      </c>
      <c r="G3" s="2" t="s">
        <v>54</v>
      </c>
      <c r="H3" t="s">
        <v>55</v>
      </c>
    </row>
    <row r="4" spans="1:8">
      <c r="A4" t="s">
        <v>56</v>
      </c>
      <c r="B4">
        <v>5576</v>
      </c>
      <c r="C4" s="4" t="s">
        <v>57</v>
      </c>
      <c r="D4">
        <v>2025</v>
      </c>
      <c r="E4">
        <v>32.6</v>
      </c>
      <c r="F4">
        <v>29.5</v>
      </c>
      <c r="G4" s="2" t="s">
        <v>54</v>
      </c>
      <c r="H4" t="s">
        <v>58</v>
      </c>
    </row>
    <row r="5" spans="1:8">
      <c r="A5" t="s">
        <v>59</v>
      </c>
      <c r="B5" t="s">
        <v>52</v>
      </c>
      <c r="C5" s="4" t="s">
        <v>53</v>
      </c>
      <c r="D5">
        <v>2025</v>
      </c>
      <c r="E5">
        <v>10.4</v>
      </c>
      <c r="F5">
        <v>40.98</v>
      </c>
      <c r="G5">
        <v>41.03</v>
      </c>
      <c r="H5" t="s">
        <v>60</v>
      </c>
    </row>
    <row r="6" spans="1:8">
      <c r="A6" t="s">
        <v>61</v>
      </c>
      <c r="B6" t="s">
        <v>52</v>
      </c>
      <c r="C6" s="4" t="s">
        <v>53</v>
      </c>
      <c r="D6">
        <v>2025</v>
      </c>
      <c r="E6">
        <v>54</v>
      </c>
      <c r="F6">
        <v>37</v>
      </c>
      <c r="G6">
        <v>9</v>
      </c>
      <c r="H6" t="s">
        <v>62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4A6BF-BAFA-4ADC-8670-F72774953FB8}">
  <dimension ref="A1:F9"/>
  <sheetViews>
    <sheetView workbookViewId="0">
      <selection sqref="A1:F6"/>
    </sheetView>
  </sheetViews>
  <sheetFormatPr defaultRowHeight="15"/>
  <cols>
    <col min="3" max="3" width="21.140625" bestFit="1" customWidth="1"/>
    <col min="6" max="6" width="10" bestFit="1" customWidth="1"/>
  </cols>
  <sheetData>
    <row r="1" spans="1:6">
      <c r="A1" s="1" t="s">
        <v>11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>
        <v>2023</v>
      </c>
      <c r="B2" t="s">
        <v>12</v>
      </c>
      <c r="C2" t="s">
        <v>68</v>
      </c>
      <c r="D2" s="5">
        <v>80549</v>
      </c>
      <c r="E2">
        <v>43.94</v>
      </c>
      <c r="F2" s="5">
        <v>183337</v>
      </c>
    </row>
    <row r="3" spans="1:6">
      <c r="A3">
        <v>2023</v>
      </c>
      <c r="B3" t="s">
        <v>13</v>
      </c>
      <c r="C3" t="s">
        <v>69</v>
      </c>
      <c r="D3" s="5">
        <v>64212</v>
      </c>
      <c r="E3">
        <v>35.03</v>
      </c>
      <c r="F3" s="5">
        <v>183337</v>
      </c>
    </row>
    <row r="4" spans="1:6">
      <c r="A4">
        <v>2023</v>
      </c>
      <c r="B4" t="s">
        <v>14</v>
      </c>
      <c r="C4" t="s">
        <v>70</v>
      </c>
      <c r="D4" s="5">
        <v>25866</v>
      </c>
      <c r="E4">
        <v>14.11</v>
      </c>
      <c r="F4" s="5">
        <v>183337</v>
      </c>
    </row>
    <row r="5" spans="1:6">
      <c r="A5">
        <v>2018</v>
      </c>
      <c r="B5" t="s">
        <v>12</v>
      </c>
      <c r="C5" t="s">
        <v>68</v>
      </c>
      <c r="D5" s="5">
        <v>68979</v>
      </c>
      <c r="E5">
        <v>44.3</v>
      </c>
      <c r="F5" s="5">
        <v>154148</v>
      </c>
    </row>
    <row r="6" spans="1:6">
      <c r="A6">
        <v>2014</v>
      </c>
      <c r="B6" t="s">
        <v>71</v>
      </c>
      <c r="C6" t="s">
        <v>68</v>
      </c>
      <c r="D6" s="5">
        <v>50898</v>
      </c>
      <c r="E6">
        <v>30.78</v>
      </c>
      <c r="F6" s="5">
        <v>165368</v>
      </c>
    </row>
    <row r="7" spans="1:6">
      <c r="A7">
        <v>2025</v>
      </c>
      <c r="B7" t="s">
        <v>13</v>
      </c>
      <c r="C7" t="inlineStr">
        <is>
          <t>Vallala Naveen Yadav</t>
        </is>
      </c>
      <c r="D7" s="5">
        <v>98988</v>
      </c>
      <c r="E7">
        <v>50.83</v>
      </c>
      <c r="F7" s="5">
        <v>194727</v>
      </c>
    </row>
    <row r="8" spans="1:6">
      <c r="A8">
        <v>2025</v>
      </c>
      <c r="B8" t="s">
        <v>12</v>
      </c>
      <c r="C8" t="inlineStr">
        <is>
          <t>Maganti Sunitha</t>
        </is>
      </c>
      <c r="D8" s="5">
        <v>74259</v>
      </c>
      <c r="E8">
        <v>38.13</v>
      </c>
      <c r="F8" s="5">
        <v>194727</v>
      </c>
    </row>
    <row r="9" spans="1:6">
      <c r="A9">
        <v>2025</v>
      </c>
      <c r="B9" t="s">
        <v>14</v>
      </c>
      <c r="C9" t="inlineStr">
        <is>
          <t>Lankala Deepak Reddy</t>
        </is>
      </c>
      <c r="D9" s="5">
        <v>17061</v>
      </c>
      <c r="E9">
        <v>8.76</v>
      </c>
      <c r="F9" s="5">
        <v>194727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93AA-E643-4857-A62B-225F200F7432}">
  <dimension ref="A1:K10"/>
  <sheetViews>
    <sheetView workbookViewId="0">
      <selection sqref="A1:K11"/>
    </sheetView>
  </sheetViews>
  <sheetFormatPr defaultRowHeight="15"/>
  <cols>
    <col min="5" max="5" width="9.28515625" bestFit="1" customWidth="1"/>
    <col min="6" max="6" width="13" bestFit="1" customWidth="1"/>
    <col min="7" max="7" width="14.140625" bestFit="1" customWidth="1"/>
    <col min="9" max="9" width="19.42578125" bestFit="1" customWidth="1"/>
    <col min="10" max="10" width="36.5703125" bestFit="1" customWidth="1"/>
    <col min="11" max="11" width="11.28515625" bestFit="1" customWidth="1"/>
  </cols>
  <sheetData>
    <row r="1" spans="1:11">
      <c r="A1" s="1" t="s">
        <v>72</v>
      </c>
      <c r="B1" s="1" t="s">
        <v>63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3" t="s">
        <v>47</v>
      </c>
      <c r="K1" t="s">
        <v>80</v>
      </c>
    </row>
    <row r="2" spans="1:11">
      <c r="A2" s="6">
        <v>45951</v>
      </c>
      <c r="B2" t="s">
        <v>81</v>
      </c>
      <c r="C2">
        <v>2</v>
      </c>
      <c r="D2">
        <v>150</v>
      </c>
      <c r="E2">
        <v>30</v>
      </c>
      <c r="F2">
        <v>20</v>
      </c>
      <c r="G2">
        <v>5200</v>
      </c>
      <c r="H2">
        <v>4300</v>
      </c>
      <c r="I2" s="2" t="s">
        <v>82</v>
      </c>
      <c r="J2" s="4" t="s">
        <v>83</v>
      </c>
    </row>
    <row r="3" spans="1:11">
      <c r="A3" s="6">
        <v>45952</v>
      </c>
      <c r="B3" t="s">
        <v>12</v>
      </c>
      <c r="C3">
        <v>1</v>
      </c>
      <c r="D3">
        <v>120</v>
      </c>
      <c r="E3">
        <v>18</v>
      </c>
      <c r="F3">
        <v>10</v>
      </c>
      <c r="G3">
        <v>4100</v>
      </c>
      <c r="H3">
        <v>3300</v>
      </c>
      <c r="I3" s="2" t="s">
        <v>84</v>
      </c>
      <c r="J3" s="4" t="s">
        <v>85</v>
      </c>
    </row>
    <row r="4" spans="1:11">
      <c r="A4" s="6">
        <v>45953</v>
      </c>
      <c r="B4" t="s">
        <v>14</v>
      </c>
      <c r="C4">
        <v>1</v>
      </c>
      <c r="D4">
        <v>200</v>
      </c>
      <c r="E4">
        <v>40</v>
      </c>
      <c r="F4">
        <v>25</v>
      </c>
      <c r="G4">
        <v>7800</v>
      </c>
      <c r="H4">
        <v>6100</v>
      </c>
      <c r="I4" s="2" t="s">
        <v>86</v>
      </c>
      <c r="J4" s="4" t="s">
        <v>87</v>
      </c>
    </row>
    <row r="5" spans="1:11">
      <c r="A5" s="6">
        <v>45954</v>
      </c>
      <c r="B5" t="s">
        <v>81</v>
      </c>
      <c r="C5">
        <v>3</v>
      </c>
      <c r="D5">
        <v>210</v>
      </c>
      <c r="E5">
        <v>50</v>
      </c>
      <c r="F5">
        <v>30</v>
      </c>
      <c r="G5">
        <v>9200</v>
      </c>
      <c r="H5">
        <v>7200</v>
      </c>
      <c r="I5" s="2" t="s">
        <v>88</v>
      </c>
      <c r="J5" s="4" t="s">
        <v>89</v>
      </c>
    </row>
    <row r="6" spans="1:11">
      <c r="A6" s="6">
        <v>45955</v>
      </c>
      <c r="B6" t="s">
        <v>12</v>
      </c>
      <c r="C6">
        <v>2</v>
      </c>
      <c r="D6">
        <v>180</v>
      </c>
      <c r="E6">
        <v>35</v>
      </c>
      <c r="F6">
        <v>20</v>
      </c>
      <c r="G6">
        <v>6800</v>
      </c>
      <c r="H6">
        <v>5400</v>
      </c>
      <c r="I6" s="2" t="s">
        <v>90</v>
      </c>
      <c r="J6" s="4" t="s">
        <v>91</v>
      </c>
    </row>
    <row r="7" spans="1:11">
      <c r="A7" s="6">
        <v>45956</v>
      </c>
      <c r="B7" t="s">
        <v>81</v>
      </c>
      <c r="C7">
        <v>2</v>
      </c>
      <c r="D7">
        <v>170</v>
      </c>
      <c r="E7">
        <v>28</v>
      </c>
      <c r="F7">
        <v>22</v>
      </c>
      <c r="G7">
        <v>6000</v>
      </c>
      <c r="H7">
        <v>4700</v>
      </c>
      <c r="I7" s="2" t="s">
        <v>92</v>
      </c>
      <c r="J7" s="4" t="s">
        <v>93</v>
      </c>
    </row>
    <row r="8" spans="1:11">
      <c r="A8" s="6">
        <v>45957</v>
      </c>
      <c r="B8" t="s">
        <v>12</v>
      </c>
      <c r="C8">
        <v>4</v>
      </c>
      <c r="D8">
        <v>460</v>
      </c>
      <c r="E8">
        <v>90</v>
      </c>
      <c r="F8">
        <v>60</v>
      </c>
      <c r="G8">
        <v>18200</v>
      </c>
      <c r="H8">
        <v>15300</v>
      </c>
      <c r="I8" s="2" t="s">
        <v>94</v>
      </c>
      <c r="J8" s="4" t="s">
        <v>95</v>
      </c>
    </row>
    <row r="9" spans="1:11" ht="29.25">
      <c r="A9" s="7">
        <v>45958</v>
      </c>
      <c r="B9" s="1" t="s">
        <v>96</v>
      </c>
      <c r="C9" s="1" t="s">
        <v>97</v>
      </c>
      <c r="D9" s="1" t="s">
        <v>97</v>
      </c>
      <c r="E9" s="1" t="s">
        <v>97</v>
      </c>
      <c r="F9" s="1" t="s">
        <v>97</v>
      </c>
      <c r="G9" s="1" t="s">
        <v>97</v>
      </c>
      <c r="H9" s="1" t="s">
        <v>97</v>
      </c>
      <c r="I9" s="8" t="s">
        <v>98</v>
      </c>
      <c r="J9" s="4" t="s">
        <v>99</v>
      </c>
    </row>
    <row r="10" spans="1:11">
      <c r="A10" s="6">
        <v>45959</v>
      </c>
      <c r="B10" t="s">
        <v>81</v>
      </c>
      <c r="C10">
        <v>1</v>
      </c>
      <c r="D10">
        <v>90</v>
      </c>
      <c r="E10">
        <v>10</v>
      </c>
      <c r="F10">
        <v>5</v>
      </c>
      <c r="G10">
        <v>2500</v>
      </c>
      <c r="H10">
        <v>2000</v>
      </c>
      <c r="I10" s="2" t="s">
        <v>100</v>
      </c>
      <c r="J10" s="4" t="s">
        <v>101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6379-F3CF-4301-AD9F-23B9C7D2EA67}">
  <dimension ref="A1:G20"/>
  <sheetViews>
    <sheetView workbookViewId="0">
      <selection sqref="A1:G21"/>
    </sheetView>
  </sheetViews>
  <sheetFormatPr defaultRowHeight="15"/>
  <cols>
    <col min="1" max="1" width="28" bestFit="1" customWidth="1"/>
    <col min="2" max="2" width="18.5703125" bestFit="1" customWidth="1"/>
    <col min="3" max="3" width="36.5703125" bestFit="1" customWidth="1"/>
    <col min="4" max="4" width="30.140625" bestFit="1" customWidth="1"/>
    <col min="5" max="5" width="28" bestFit="1" customWidth="1"/>
    <col min="6" max="6" width="25" bestFit="1" customWidth="1"/>
    <col min="7" max="7" width="11.28515625" bestFit="1" customWidth="1"/>
  </cols>
  <sheetData>
    <row r="1" spans="1:7">
      <c r="A1" s="1" t="s">
        <v>102</v>
      </c>
      <c r="B1" s="1" t="s">
        <v>103</v>
      </c>
      <c r="C1" s="3" t="s">
        <v>104</v>
      </c>
      <c r="D1" s="1" t="s">
        <v>12</v>
      </c>
      <c r="E1" s="1" t="s">
        <v>14</v>
      </c>
      <c r="F1" s="1" t="s">
        <v>47</v>
      </c>
      <c r="G1" t="s">
        <v>80</v>
      </c>
    </row>
    <row r="2" spans="1:7">
      <c r="A2" s="1" t="s">
        <v>105</v>
      </c>
      <c r="B2" t="s">
        <v>106</v>
      </c>
      <c r="C2" s="4" t="s">
        <v>107</v>
      </c>
      <c r="D2" t="s">
        <v>108</v>
      </c>
      <c r="E2" t="s">
        <v>109</v>
      </c>
      <c r="F2" t="s">
        <v>110</v>
      </c>
    </row>
    <row r="3" spans="1:7">
      <c r="B3" t="s">
        <v>111</v>
      </c>
      <c r="C3" s="4" t="s">
        <v>112</v>
      </c>
      <c r="D3" t="s">
        <v>113</v>
      </c>
      <c r="E3" t="s">
        <v>114</v>
      </c>
    </row>
    <row r="4" spans="1:7">
      <c r="B4" t="s">
        <v>115</v>
      </c>
      <c r="C4" s="4" t="s">
        <v>116</v>
      </c>
      <c r="D4" t="s">
        <v>117</v>
      </c>
      <c r="E4" t="s">
        <v>118</v>
      </c>
    </row>
    <row r="5" spans="1:7">
      <c r="B5" t="s">
        <v>119</v>
      </c>
      <c r="C5" s="4" t="s">
        <v>120</v>
      </c>
      <c r="D5" t="s">
        <v>121</v>
      </c>
      <c r="E5" t="s">
        <v>122</v>
      </c>
    </row>
    <row r="6" spans="1:7">
      <c r="B6" t="s">
        <v>123</v>
      </c>
      <c r="C6" s="4" t="s">
        <v>124</v>
      </c>
      <c r="D6" t="s">
        <v>125</v>
      </c>
      <c r="E6" t="s">
        <v>126</v>
      </c>
    </row>
    <row r="7" spans="1:7" ht="29.25">
      <c r="A7" s="1" t="s">
        <v>127</v>
      </c>
      <c r="B7" t="s">
        <v>128</v>
      </c>
      <c r="C7" s="4" t="s">
        <v>130</v>
      </c>
      <c r="D7" t="s">
        <v>129</v>
      </c>
      <c r="E7" t="s">
        <v>130</v>
      </c>
      <c r="F7" t="s">
        <v>131</v>
      </c>
    </row>
    <row r="8" spans="1:7">
      <c r="B8" t="s">
        <v>132</v>
      </c>
      <c r="C8" s="4" t="s">
        <v>133</v>
      </c>
      <c r="D8" t="s">
        <v>134</v>
      </c>
      <c r="E8" t="s">
        <v>130</v>
      </c>
      <c r="F8" t="s">
        <v>135</v>
      </c>
    </row>
    <row r="9" spans="1:7">
      <c r="B9" t="s">
        <v>136</v>
      </c>
      <c r="C9" s="4" t="s">
        <v>130</v>
      </c>
      <c r="D9" t="s">
        <v>137</v>
      </c>
      <c r="E9" t="s">
        <v>138</v>
      </c>
    </row>
    <row r="10" spans="1:7">
      <c r="B10" t="s">
        <v>139</v>
      </c>
      <c r="C10" s="4" t="s">
        <v>140</v>
      </c>
      <c r="D10" t="s">
        <v>141</v>
      </c>
      <c r="E10" t="s">
        <v>130</v>
      </c>
    </row>
    <row r="11" spans="1:7">
      <c r="B11" t="s">
        <v>142</v>
      </c>
      <c r="C11" s="4" t="s">
        <v>130</v>
      </c>
      <c r="D11" t="s">
        <v>143</v>
      </c>
      <c r="E11" t="s">
        <v>130</v>
      </c>
    </row>
    <row r="12" spans="1:7">
      <c r="B12" t="s">
        <v>144</v>
      </c>
      <c r="C12" s="4" t="s">
        <v>145</v>
      </c>
      <c r="D12" t="s">
        <v>130</v>
      </c>
      <c r="E12" t="s">
        <v>130</v>
      </c>
      <c r="F12" t="s">
        <v>146</v>
      </c>
    </row>
    <row r="13" spans="1:7">
      <c r="B13" t="s">
        <v>147</v>
      </c>
      <c r="C13" s="4" t="s">
        <v>130</v>
      </c>
      <c r="D13" t="s">
        <v>148</v>
      </c>
      <c r="E13" t="s">
        <v>130</v>
      </c>
    </row>
    <row r="14" spans="1:7">
      <c r="A14" s="1" t="s">
        <v>149</v>
      </c>
      <c r="B14" t="s">
        <v>150</v>
      </c>
      <c r="C14" s="4" t="s">
        <v>130</v>
      </c>
      <c r="D14" t="s">
        <v>151</v>
      </c>
      <c r="E14" t="s">
        <v>130</v>
      </c>
      <c r="F14" t="s">
        <v>152</v>
      </c>
    </row>
    <row r="15" spans="1:7">
      <c r="B15" t="s">
        <v>153</v>
      </c>
      <c r="C15" s="4" t="s">
        <v>154</v>
      </c>
      <c r="D15" t="s">
        <v>130</v>
      </c>
      <c r="E15" t="s">
        <v>155</v>
      </c>
      <c r="F15" t="s">
        <v>156</v>
      </c>
    </row>
    <row r="16" spans="1:7">
      <c r="B16" t="s">
        <v>157</v>
      </c>
      <c r="C16" s="4" t="s">
        <v>158</v>
      </c>
      <c r="D16" t="s">
        <v>159</v>
      </c>
      <c r="E16" t="s">
        <v>160</v>
      </c>
      <c r="F16" t="s">
        <v>161</v>
      </c>
    </row>
    <row r="17" spans="2:6">
      <c r="B17" t="s">
        <v>162</v>
      </c>
      <c r="C17" s="4" t="s">
        <v>163</v>
      </c>
      <c r="D17" t="s">
        <v>164</v>
      </c>
      <c r="E17" t="s">
        <v>130</v>
      </c>
      <c r="F17" t="s">
        <v>165</v>
      </c>
    </row>
    <row r="18" spans="2:6">
      <c r="B18" t="s">
        <v>106</v>
      </c>
      <c r="C18" s="4" t="s">
        <v>130</v>
      </c>
      <c r="D18" t="s">
        <v>166</v>
      </c>
      <c r="E18" t="s">
        <v>130</v>
      </c>
    </row>
    <row r="19" spans="2:6">
      <c r="B19" t="s">
        <v>167</v>
      </c>
      <c r="C19" s="4" t="s">
        <v>168</v>
      </c>
      <c r="D19" t="s">
        <v>169</v>
      </c>
      <c r="E19" t="s">
        <v>130</v>
      </c>
      <c r="F19" t="s">
        <v>170</v>
      </c>
    </row>
    <row r="20" spans="2:6">
      <c r="B20" t="s">
        <v>171</v>
      </c>
      <c r="C20" s="4" t="s">
        <v>172</v>
      </c>
      <c r="D20" t="s">
        <v>130</v>
      </c>
      <c r="E20" t="s">
        <v>130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4A18-F770-4C55-894B-7D106602CA01}">
  <dimension ref="A1:G12"/>
  <sheetViews>
    <sheetView workbookViewId="0">
      <selection sqref="A1:G13"/>
    </sheetView>
  </sheetViews>
  <sheetFormatPr defaultRowHeight="15"/>
  <cols>
    <col min="3" max="3" width="36.5703125" bestFit="1" customWidth="1"/>
    <col min="4" max="4" width="12.5703125" bestFit="1" customWidth="1"/>
    <col min="5" max="5" width="16" bestFit="1" customWidth="1"/>
    <col min="6" max="6" width="13.42578125" bestFit="1" customWidth="1"/>
    <col min="7" max="7" width="22.7109375" bestFit="1" customWidth="1"/>
  </cols>
  <sheetData>
    <row r="1" spans="1:7">
      <c r="A1" s="1" t="s">
        <v>72</v>
      </c>
      <c r="B1" s="1" t="s">
        <v>63</v>
      </c>
      <c r="C1" s="3" t="s">
        <v>173</v>
      </c>
      <c r="D1" s="1" t="s">
        <v>174</v>
      </c>
      <c r="E1" s="1" t="s">
        <v>175</v>
      </c>
      <c r="F1" s="1" t="s">
        <v>176</v>
      </c>
      <c r="G1" s="1" t="s">
        <v>177</v>
      </c>
    </row>
    <row r="2" spans="1:7">
      <c r="A2" s="6">
        <v>45951</v>
      </c>
      <c r="B2" t="s">
        <v>12</v>
      </c>
      <c r="C2" s="4" t="s">
        <v>178</v>
      </c>
      <c r="D2" t="s">
        <v>179</v>
      </c>
      <c r="E2" t="s">
        <v>180</v>
      </c>
      <c r="F2" t="s">
        <v>181</v>
      </c>
      <c r="G2" t="s">
        <v>182</v>
      </c>
    </row>
    <row r="3" spans="1:7">
      <c r="A3" s="6">
        <v>45951</v>
      </c>
      <c r="B3" t="s">
        <v>104</v>
      </c>
      <c r="C3" s="4" t="s">
        <v>183</v>
      </c>
      <c r="D3" t="s">
        <v>184</v>
      </c>
      <c r="E3" t="s">
        <v>53</v>
      </c>
      <c r="F3" t="s">
        <v>185</v>
      </c>
      <c r="G3" t="s">
        <v>186</v>
      </c>
    </row>
    <row r="4" spans="1:7">
      <c r="A4" s="6">
        <v>45952</v>
      </c>
      <c r="B4" t="s">
        <v>12</v>
      </c>
      <c r="C4" s="4" t="s">
        <v>187</v>
      </c>
      <c r="D4" t="s">
        <v>188</v>
      </c>
      <c r="E4" t="s">
        <v>21</v>
      </c>
      <c r="F4" t="s">
        <v>185</v>
      </c>
      <c r="G4" t="s">
        <v>189</v>
      </c>
    </row>
    <row r="5" spans="1:7">
      <c r="A5" s="6">
        <v>45953</v>
      </c>
      <c r="B5" t="s">
        <v>14</v>
      </c>
      <c r="C5" s="4" t="s">
        <v>190</v>
      </c>
      <c r="D5" t="s">
        <v>191</v>
      </c>
      <c r="E5" t="s">
        <v>53</v>
      </c>
      <c r="F5" t="s">
        <v>181</v>
      </c>
      <c r="G5" t="s">
        <v>192</v>
      </c>
    </row>
    <row r="6" spans="1:7">
      <c r="A6" s="6">
        <v>45953</v>
      </c>
      <c r="B6" t="s">
        <v>104</v>
      </c>
      <c r="C6" s="4" t="s">
        <v>193</v>
      </c>
      <c r="D6" t="s">
        <v>194</v>
      </c>
      <c r="E6" t="s">
        <v>17</v>
      </c>
      <c r="F6" t="s">
        <v>181</v>
      </c>
      <c r="G6" t="s">
        <v>195</v>
      </c>
    </row>
    <row r="7" spans="1:7">
      <c r="A7" s="6">
        <v>45955</v>
      </c>
      <c r="B7" t="s">
        <v>12</v>
      </c>
      <c r="C7" s="4" t="s">
        <v>196</v>
      </c>
      <c r="D7" t="s">
        <v>197</v>
      </c>
      <c r="E7" t="s">
        <v>198</v>
      </c>
      <c r="F7" t="s">
        <v>185</v>
      </c>
      <c r="G7" t="s">
        <v>199</v>
      </c>
    </row>
    <row r="8" spans="1:7">
      <c r="A8" s="6">
        <v>45956</v>
      </c>
      <c r="B8" t="s">
        <v>104</v>
      </c>
      <c r="C8" s="4" t="s">
        <v>200</v>
      </c>
      <c r="D8" t="s">
        <v>191</v>
      </c>
      <c r="E8" t="s">
        <v>20</v>
      </c>
      <c r="F8" t="s">
        <v>181</v>
      </c>
      <c r="G8" t="s">
        <v>201</v>
      </c>
    </row>
    <row r="9" spans="1:7" ht="29.25">
      <c r="A9" s="6">
        <v>45957</v>
      </c>
      <c r="B9" t="s">
        <v>12</v>
      </c>
      <c r="C9" s="4" t="s">
        <v>202</v>
      </c>
      <c r="D9" t="s">
        <v>203</v>
      </c>
      <c r="E9" t="s">
        <v>204</v>
      </c>
      <c r="F9" t="s">
        <v>205</v>
      </c>
      <c r="G9" t="s">
        <v>206</v>
      </c>
    </row>
    <row r="10" spans="1:7">
      <c r="A10" s="6">
        <v>45957</v>
      </c>
      <c r="B10" t="s">
        <v>14</v>
      </c>
      <c r="C10" s="4" t="s">
        <v>207</v>
      </c>
      <c r="D10" t="s">
        <v>194</v>
      </c>
      <c r="E10" t="s">
        <v>53</v>
      </c>
      <c r="F10" t="s">
        <v>185</v>
      </c>
      <c r="G10" t="s">
        <v>208</v>
      </c>
    </row>
    <row r="11" spans="1:7">
      <c r="A11" s="6">
        <v>45958</v>
      </c>
      <c r="B11" t="s">
        <v>12</v>
      </c>
      <c r="C11" s="4" t="s">
        <v>209</v>
      </c>
      <c r="D11" t="s">
        <v>197</v>
      </c>
      <c r="E11" t="s">
        <v>53</v>
      </c>
      <c r="F11" t="s">
        <v>181</v>
      </c>
      <c r="G11" t="s">
        <v>210</v>
      </c>
    </row>
    <row r="12" spans="1:7">
      <c r="A12" s="6">
        <v>45959</v>
      </c>
      <c r="B12" t="s">
        <v>104</v>
      </c>
      <c r="C12" s="4" t="s">
        <v>211</v>
      </c>
      <c r="D12" t="s">
        <v>212</v>
      </c>
      <c r="E12" t="s">
        <v>53</v>
      </c>
      <c r="F12" t="s">
        <v>181</v>
      </c>
      <c r="G12" t="s">
        <v>213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2025-11-01T06:54:39Z</dcterms:created>
  <dcterms:modified xsi:type="dcterms:W3CDTF">2026-03-29T14:39:14Z</dcterms:modified>
  <cp:category/>
  <cp:contentStatus/>
</cp:coreProperties>
</file>